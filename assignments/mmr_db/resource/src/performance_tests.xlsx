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oho/Library/CloudStorage/GoogleDrive-kyllene@sasa.hs.kr/Other computers/Mac 16/Desktop/EE209/"/>
    </mc:Choice>
  </mc:AlternateContent>
  <xr:revisionPtr revIDLastSave="0" documentId="13_ncr:1_{2419CC64-270D-8045-BE5B-6987A457D840}" xr6:coauthVersionLast="47" xr6:coauthVersionMax="47" xr10:uidLastSave="{00000000-0000-0000-0000-000000000000}"/>
  <bookViews>
    <workbookView xWindow="3260" yWindow="-18140" windowWidth="28040" windowHeight="17320" xr2:uid="{1AC66D03-CD96-B347-9DBF-C43EC524D8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1" l="1"/>
  <c r="G48" i="1"/>
  <c r="H48" i="1"/>
  <c r="I48" i="1"/>
  <c r="J48" i="1"/>
  <c r="K48" i="1"/>
  <c r="L48" i="1"/>
  <c r="M48" i="1"/>
  <c r="F49" i="1"/>
  <c r="G49" i="1"/>
  <c r="H49" i="1"/>
  <c r="I49" i="1"/>
  <c r="J49" i="1"/>
  <c r="K49" i="1"/>
  <c r="L49" i="1"/>
  <c r="M49" i="1"/>
  <c r="F50" i="1"/>
  <c r="G50" i="1"/>
  <c r="H50" i="1"/>
  <c r="I50" i="1"/>
  <c r="J50" i="1"/>
  <c r="K50" i="1"/>
  <c r="L50" i="1"/>
  <c r="M50" i="1"/>
  <c r="E48" i="1"/>
  <c r="E49" i="1"/>
  <c r="E50" i="1"/>
  <c r="D50" i="1"/>
  <c r="C50" i="1"/>
  <c r="B50" i="1"/>
  <c r="D49" i="1"/>
  <c r="C49" i="1"/>
  <c r="B49" i="1"/>
  <c r="D48" i="1"/>
  <c r="C48" i="1"/>
  <c r="B48" i="1"/>
  <c r="Q29" i="1"/>
  <c r="Q28" i="1"/>
  <c r="Q27" i="1"/>
  <c r="Q26" i="1"/>
  <c r="Q25" i="1"/>
  <c r="Q24" i="1"/>
  <c r="Q23" i="1"/>
  <c r="Q22" i="1"/>
  <c r="Q21" i="1"/>
  <c r="Q20" i="1"/>
  <c r="P32" i="1"/>
  <c r="O32" i="1"/>
  <c r="N32" i="1"/>
  <c r="P31" i="1"/>
  <c r="O31" i="1"/>
  <c r="N31" i="1"/>
  <c r="P30" i="1"/>
  <c r="O30" i="1"/>
  <c r="N30" i="1"/>
  <c r="L32" i="1"/>
  <c r="K32" i="1"/>
  <c r="J32" i="1"/>
  <c r="L31" i="1"/>
  <c r="K31" i="1"/>
  <c r="J31" i="1"/>
  <c r="L30" i="1"/>
  <c r="K30" i="1"/>
  <c r="J30" i="1"/>
  <c r="M21" i="1"/>
  <c r="M22" i="1"/>
  <c r="M23" i="1"/>
  <c r="M24" i="1"/>
  <c r="M25" i="1"/>
  <c r="M26" i="1"/>
  <c r="M27" i="1"/>
  <c r="M28" i="1"/>
  <c r="M29" i="1"/>
  <c r="M20" i="1"/>
  <c r="I21" i="1"/>
  <c r="I22" i="1"/>
  <c r="I23" i="1"/>
  <c r="I24" i="1"/>
  <c r="I25" i="1"/>
  <c r="I26" i="1"/>
  <c r="I27" i="1"/>
  <c r="I28" i="1"/>
  <c r="I29" i="1"/>
  <c r="I20" i="1"/>
  <c r="E21" i="1"/>
  <c r="E22" i="1"/>
  <c r="E23" i="1"/>
  <c r="E24" i="1"/>
  <c r="E25" i="1"/>
  <c r="E26" i="1"/>
  <c r="E27" i="1"/>
  <c r="E28" i="1"/>
  <c r="E29" i="1"/>
  <c r="E20" i="1"/>
  <c r="F30" i="1"/>
  <c r="G30" i="1"/>
  <c r="H30" i="1"/>
  <c r="F31" i="1"/>
  <c r="G31" i="1"/>
  <c r="H31" i="1"/>
  <c r="F32" i="1"/>
  <c r="G32" i="1"/>
  <c r="H32" i="1"/>
  <c r="B32" i="1"/>
  <c r="C32" i="1"/>
  <c r="D32" i="1"/>
  <c r="B31" i="1"/>
  <c r="C31" i="1"/>
  <c r="D31" i="1"/>
  <c r="B30" i="1"/>
  <c r="C30" i="1"/>
  <c r="D30" i="1"/>
  <c r="C15" i="1"/>
  <c r="C14" i="1"/>
  <c r="C13" i="1"/>
  <c r="B15" i="1"/>
  <c r="B14" i="1"/>
  <c r="B13" i="1"/>
</calcChain>
</file>

<file path=xl/sharedStrings.xml><?xml version="1.0" encoding="utf-8"?>
<sst xmlns="http://schemas.openxmlformats.org/spreadsheetml/2006/main" count="48" uniqueCount="18">
  <si>
    <t>Without HT_expansion</t>
  </si>
  <si>
    <t>With HT_expansion</t>
  </si>
  <si>
    <t>BST</t>
  </si>
  <si>
    <t>ID_only</t>
  </si>
  <si>
    <t>MMR_only</t>
  </si>
  <si>
    <t>Self-balancing</t>
  </si>
  <si>
    <t>MEAN</t>
  </si>
  <si>
    <t>MAX</t>
  </si>
  <si>
    <t>MIN</t>
  </si>
  <si>
    <t>UPDATE</t>
  </si>
  <si>
    <t>GetMMRbyID</t>
  </si>
  <si>
    <t>GetIDByRank</t>
  </si>
  <si>
    <t>Ratio</t>
  </si>
  <si>
    <t>GetIDByRank (Worst Case)</t>
  </si>
  <si>
    <t>HT</t>
  </si>
  <si>
    <t>CountPlayers</t>
  </si>
  <si>
    <t>Integrated (well)</t>
  </si>
  <si>
    <t>GetRankByID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</si>
</sst>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DC579-62A1-A94B-AFC5-88E7CAB6D0C7}">
  <dimension ref="A1:Q50"/>
  <sheetViews>
    <sheetView tabSelected="1" topLeftCell="A15" workbookViewId="0">
      <selection activeCell="J36" sqref="J36:M36"/>
    </sheetView>
  </sheetViews>
  <sheetFormatPr baseColWidth="10" defaultRowHeight="16" x14ac:dyDescent="0.2"/>
  <cols>
    <col min="1" max="1" width="12.83203125" style="2" customWidth="1"/>
    <col min="2" max="17" width="12.83203125" customWidth="1"/>
  </cols>
  <sheetData>
    <row r="1" spans="1:3" x14ac:dyDescent="0.2">
      <c r="B1" s="1" t="s">
        <v>0</v>
      </c>
      <c r="C1" s="1" t="s">
        <v>1</v>
      </c>
    </row>
    <row r="2" spans="1:3" x14ac:dyDescent="0.2">
      <c r="B2" s="1" t="s">
        <v>9</v>
      </c>
      <c r="C2" s="1" t="s">
        <v>9</v>
      </c>
    </row>
    <row r="3" spans="1:3" x14ac:dyDescent="0.2">
      <c r="B3">
        <v>1900</v>
      </c>
      <c r="C3">
        <v>709</v>
      </c>
    </row>
    <row r="4" spans="1:3" x14ac:dyDescent="0.2">
      <c r="B4">
        <v>1873</v>
      </c>
      <c r="C4">
        <v>711</v>
      </c>
    </row>
    <row r="5" spans="1:3" x14ac:dyDescent="0.2">
      <c r="B5">
        <v>1862</v>
      </c>
      <c r="C5">
        <v>753</v>
      </c>
    </row>
    <row r="6" spans="1:3" x14ac:dyDescent="0.2">
      <c r="B6">
        <v>1875</v>
      </c>
      <c r="C6">
        <v>710</v>
      </c>
    </row>
    <row r="7" spans="1:3" x14ac:dyDescent="0.2">
      <c r="B7">
        <v>1865</v>
      </c>
      <c r="C7">
        <v>754</v>
      </c>
    </row>
    <row r="8" spans="1:3" x14ac:dyDescent="0.2">
      <c r="B8">
        <v>1902</v>
      </c>
      <c r="C8">
        <v>707</v>
      </c>
    </row>
    <row r="9" spans="1:3" x14ac:dyDescent="0.2">
      <c r="B9">
        <v>1850</v>
      </c>
      <c r="C9">
        <v>711</v>
      </c>
    </row>
    <row r="10" spans="1:3" x14ac:dyDescent="0.2">
      <c r="B10">
        <v>1852</v>
      </c>
      <c r="C10">
        <v>709</v>
      </c>
    </row>
    <row r="11" spans="1:3" x14ac:dyDescent="0.2">
      <c r="B11">
        <v>1892</v>
      </c>
      <c r="C11">
        <v>760</v>
      </c>
    </row>
    <row r="12" spans="1:3" x14ac:dyDescent="0.2">
      <c r="B12">
        <v>1819</v>
      </c>
      <c r="C12">
        <v>707</v>
      </c>
    </row>
    <row r="13" spans="1:3" x14ac:dyDescent="0.2">
      <c r="A13" s="2" t="s">
        <v>6</v>
      </c>
      <c r="B13" s="1">
        <f>AVERAGE(B3:B12)</f>
        <v>1869</v>
      </c>
      <c r="C13" s="1">
        <f>AVERAGE(C3:C12)</f>
        <v>723.1</v>
      </c>
    </row>
    <row r="14" spans="1:3" x14ac:dyDescent="0.2">
      <c r="A14" s="2" t="s">
        <v>7</v>
      </c>
      <c r="B14" s="1">
        <f>MAX(B3:B12)</f>
        <v>1902</v>
      </c>
      <c r="C14" s="1">
        <f>MAX(C3:C12)</f>
        <v>760</v>
      </c>
    </row>
    <row r="15" spans="1:3" x14ac:dyDescent="0.2">
      <c r="A15" s="2" t="s">
        <v>8</v>
      </c>
      <c r="B15" s="1">
        <f>MIN(B3:B12)</f>
        <v>1819</v>
      </c>
      <c r="C15" s="1">
        <f>MIN(C3:C12)</f>
        <v>707</v>
      </c>
    </row>
    <row r="18" spans="1:17" x14ac:dyDescent="0.2">
      <c r="B18" s="5" t="s">
        <v>2</v>
      </c>
      <c r="C18" s="5"/>
      <c r="D18" s="5"/>
      <c r="E18" s="5"/>
      <c r="F18" s="5" t="s">
        <v>3</v>
      </c>
      <c r="G18" s="5"/>
      <c r="H18" s="5"/>
      <c r="I18" s="5"/>
      <c r="J18" s="5" t="s">
        <v>4</v>
      </c>
      <c r="K18" s="5"/>
      <c r="L18" s="5"/>
      <c r="M18" s="5"/>
      <c r="N18" s="5" t="s">
        <v>5</v>
      </c>
      <c r="O18" s="5"/>
      <c r="P18" s="5"/>
      <c r="Q18" s="5"/>
    </row>
    <row r="19" spans="1:17" x14ac:dyDescent="0.2">
      <c r="B19" s="3" t="s">
        <v>10</v>
      </c>
      <c r="C19" s="3" t="s">
        <v>11</v>
      </c>
      <c r="D19" s="3" t="s">
        <v>13</v>
      </c>
      <c r="E19" s="3" t="s">
        <v>12</v>
      </c>
      <c r="F19" s="3" t="s">
        <v>10</v>
      </c>
      <c r="G19" s="3" t="s">
        <v>11</v>
      </c>
      <c r="H19" s="3" t="s">
        <v>13</v>
      </c>
      <c r="I19" s="3" t="s">
        <v>12</v>
      </c>
      <c r="J19" s="3" t="s">
        <v>10</v>
      </c>
      <c r="K19" s="3" t="s">
        <v>11</v>
      </c>
      <c r="L19" s="3" t="s">
        <v>13</v>
      </c>
      <c r="M19" s="3" t="s">
        <v>12</v>
      </c>
      <c r="N19" s="3" t="s">
        <v>10</v>
      </c>
      <c r="O19" s="3" t="s">
        <v>11</v>
      </c>
      <c r="P19" s="3" t="s">
        <v>13</v>
      </c>
      <c r="Q19" s="3" t="s">
        <v>12</v>
      </c>
    </row>
    <row r="20" spans="1:17" x14ac:dyDescent="0.2">
      <c r="B20">
        <v>235</v>
      </c>
      <c r="C20">
        <v>134</v>
      </c>
      <c r="D20">
        <v>5306</v>
      </c>
      <c r="E20">
        <f>D20/C20</f>
        <v>39.597014925373138</v>
      </c>
      <c r="F20">
        <v>257</v>
      </c>
      <c r="G20">
        <v>128848</v>
      </c>
      <c r="H20">
        <v>128790</v>
      </c>
      <c r="I20">
        <f>H20/G20</f>
        <v>0.99954985719607603</v>
      </c>
      <c r="J20">
        <v>9374</v>
      </c>
      <c r="K20">
        <v>159</v>
      </c>
      <c r="L20">
        <v>5220</v>
      </c>
      <c r="M20">
        <f>L20/K20</f>
        <v>32.830188679245282</v>
      </c>
      <c r="N20">
        <v>189</v>
      </c>
      <c r="O20">
        <v>137</v>
      </c>
      <c r="P20">
        <v>193</v>
      </c>
      <c r="Q20">
        <f>P20/O20</f>
        <v>1.4087591240875912</v>
      </c>
    </row>
    <row r="21" spans="1:17" x14ac:dyDescent="0.2">
      <c r="B21">
        <v>238</v>
      </c>
      <c r="C21">
        <v>154</v>
      </c>
      <c r="D21">
        <v>5410</v>
      </c>
      <c r="E21">
        <f t="shared" ref="E21:E29" si="0">D21/C21</f>
        <v>35.129870129870127</v>
      </c>
      <c r="F21">
        <v>227</v>
      </c>
      <c r="G21">
        <v>123625</v>
      </c>
      <c r="H21">
        <v>127399</v>
      </c>
      <c r="I21">
        <f t="shared" ref="I21:I29" si="1">H21/G21</f>
        <v>1.0305278058645095</v>
      </c>
      <c r="J21">
        <v>9245</v>
      </c>
      <c r="K21">
        <v>176</v>
      </c>
      <c r="L21">
        <v>5072</v>
      </c>
      <c r="M21">
        <f t="shared" ref="M21:M29" si="2">L21/K21</f>
        <v>28.818181818181817</v>
      </c>
      <c r="N21">
        <v>244</v>
      </c>
      <c r="O21">
        <v>134</v>
      </c>
      <c r="P21">
        <v>133</v>
      </c>
      <c r="Q21">
        <f t="shared" ref="Q21:Q29" si="3">P21/O21</f>
        <v>0.9925373134328358</v>
      </c>
    </row>
    <row r="22" spans="1:17" x14ac:dyDescent="0.2">
      <c r="B22">
        <v>278</v>
      </c>
      <c r="C22">
        <v>156</v>
      </c>
      <c r="D22">
        <v>5245</v>
      </c>
      <c r="E22">
        <f t="shared" si="0"/>
        <v>33.621794871794869</v>
      </c>
      <c r="F22">
        <v>223</v>
      </c>
      <c r="G22">
        <v>123887</v>
      </c>
      <c r="H22">
        <v>125731</v>
      </c>
      <c r="I22">
        <f t="shared" si="1"/>
        <v>1.0148845318717863</v>
      </c>
      <c r="J22">
        <v>9684</v>
      </c>
      <c r="K22">
        <v>160</v>
      </c>
      <c r="L22">
        <v>5187</v>
      </c>
      <c r="M22">
        <f t="shared" si="2"/>
        <v>32.418750000000003</v>
      </c>
      <c r="N22">
        <v>227</v>
      </c>
      <c r="O22">
        <v>134</v>
      </c>
      <c r="P22">
        <v>134</v>
      </c>
      <c r="Q22">
        <f t="shared" si="3"/>
        <v>1</v>
      </c>
    </row>
    <row r="23" spans="1:17" x14ac:dyDescent="0.2">
      <c r="B23">
        <v>234</v>
      </c>
      <c r="C23">
        <v>155</v>
      </c>
      <c r="D23">
        <v>5561</v>
      </c>
      <c r="E23">
        <f t="shared" si="0"/>
        <v>35.877419354838707</v>
      </c>
      <c r="F23">
        <v>244</v>
      </c>
      <c r="G23">
        <v>126403</v>
      </c>
      <c r="H23">
        <v>125836</v>
      </c>
      <c r="I23">
        <f t="shared" si="1"/>
        <v>0.99551434696961305</v>
      </c>
      <c r="J23">
        <v>9842</v>
      </c>
      <c r="K23">
        <v>159</v>
      </c>
      <c r="L23">
        <v>5767</v>
      </c>
      <c r="M23">
        <f t="shared" si="2"/>
        <v>36.270440251572325</v>
      </c>
      <c r="N23">
        <v>188</v>
      </c>
      <c r="O23">
        <v>134</v>
      </c>
      <c r="P23">
        <v>135</v>
      </c>
      <c r="Q23">
        <f t="shared" si="3"/>
        <v>1.0074626865671641</v>
      </c>
    </row>
    <row r="24" spans="1:17" x14ac:dyDescent="0.2">
      <c r="B24">
        <v>236</v>
      </c>
      <c r="C24">
        <v>155</v>
      </c>
      <c r="D24">
        <v>5426</v>
      </c>
      <c r="E24">
        <f t="shared" si="0"/>
        <v>35.006451612903227</v>
      </c>
      <c r="F24">
        <v>225</v>
      </c>
      <c r="G24">
        <v>124179</v>
      </c>
      <c r="H24">
        <v>126281</v>
      </c>
      <c r="I24">
        <f t="shared" si="1"/>
        <v>1.0169271777031543</v>
      </c>
      <c r="J24">
        <v>9237</v>
      </c>
      <c r="K24">
        <v>159</v>
      </c>
      <c r="L24">
        <v>5069</v>
      </c>
      <c r="M24">
        <f t="shared" si="2"/>
        <v>31.880503144654089</v>
      </c>
      <c r="N24">
        <v>190</v>
      </c>
      <c r="O24">
        <v>136</v>
      </c>
      <c r="P24">
        <v>134</v>
      </c>
      <c r="Q24">
        <f t="shared" si="3"/>
        <v>0.98529411764705888</v>
      </c>
    </row>
    <row r="25" spans="1:17" x14ac:dyDescent="0.2">
      <c r="B25">
        <v>235</v>
      </c>
      <c r="C25">
        <v>196</v>
      </c>
      <c r="D25">
        <v>5576</v>
      </c>
      <c r="E25">
        <f t="shared" si="0"/>
        <v>28.448979591836736</v>
      </c>
      <c r="F25">
        <v>225</v>
      </c>
      <c r="G25">
        <v>125653</v>
      </c>
      <c r="H25">
        <v>124988</v>
      </c>
      <c r="I25">
        <f t="shared" si="1"/>
        <v>0.99470764725076199</v>
      </c>
      <c r="J25">
        <v>9687</v>
      </c>
      <c r="K25">
        <v>160</v>
      </c>
      <c r="L25">
        <v>5699</v>
      </c>
      <c r="M25">
        <f t="shared" si="2"/>
        <v>35.618749999999999</v>
      </c>
      <c r="N25">
        <v>289</v>
      </c>
      <c r="O25">
        <v>134</v>
      </c>
      <c r="P25">
        <v>134</v>
      </c>
      <c r="Q25">
        <f t="shared" si="3"/>
        <v>1</v>
      </c>
    </row>
    <row r="26" spans="1:17" x14ac:dyDescent="0.2">
      <c r="B26">
        <v>237</v>
      </c>
      <c r="C26">
        <v>156</v>
      </c>
      <c r="D26">
        <v>5767</v>
      </c>
      <c r="E26">
        <f t="shared" si="0"/>
        <v>36.967948717948715</v>
      </c>
      <c r="F26">
        <v>224</v>
      </c>
      <c r="G26">
        <v>124087</v>
      </c>
      <c r="H26">
        <v>123578</v>
      </c>
      <c r="I26">
        <f t="shared" si="1"/>
        <v>0.99589803927889309</v>
      </c>
      <c r="J26">
        <v>9402</v>
      </c>
      <c r="K26">
        <v>160</v>
      </c>
      <c r="L26">
        <v>4985</v>
      </c>
      <c r="M26">
        <f t="shared" si="2"/>
        <v>31.15625</v>
      </c>
      <c r="N26">
        <v>233</v>
      </c>
      <c r="O26">
        <v>134</v>
      </c>
      <c r="P26">
        <v>133</v>
      </c>
      <c r="Q26">
        <f t="shared" si="3"/>
        <v>0.9925373134328358</v>
      </c>
    </row>
    <row r="27" spans="1:17" x14ac:dyDescent="0.2">
      <c r="B27">
        <v>235</v>
      </c>
      <c r="C27">
        <v>154</v>
      </c>
      <c r="D27">
        <v>5835</v>
      </c>
      <c r="E27">
        <f t="shared" si="0"/>
        <v>37.88961038961039</v>
      </c>
      <c r="F27">
        <v>226</v>
      </c>
      <c r="G27">
        <v>122692</v>
      </c>
      <c r="H27">
        <v>124274</v>
      </c>
      <c r="I27">
        <f t="shared" si="1"/>
        <v>1.0128940762233887</v>
      </c>
      <c r="J27">
        <v>9335</v>
      </c>
      <c r="K27">
        <v>160</v>
      </c>
      <c r="L27">
        <v>5760</v>
      </c>
      <c r="M27">
        <f t="shared" si="2"/>
        <v>36</v>
      </c>
      <c r="N27">
        <v>190</v>
      </c>
      <c r="O27">
        <v>133</v>
      </c>
      <c r="P27">
        <v>133</v>
      </c>
      <c r="Q27">
        <f t="shared" si="3"/>
        <v>1</v>
      </c>
    </row>
    <row r="28" spans="1:17" x14ac:dyDescent="0.2">
      <c r="B28">
        <v>236</v>
      </c>
      <c r="C28">
        <v>154</v>
      </c>
      <c r="D28">
        <v>5261</v>
      </c>
      <c r="E28">
        <f t="shared" si="0"/>
        <v>34.162337662337663</v>
      </c>
      <c r="F28">
        <v>225</v>
      </c>
      <c r="G28">
        <v>124999</v>
      </c>
      <c r="H28">
        <v>135976</v>
      </c>
      <c r="I28">
        <f t="shared" si="1"/>
        <v>1.0878167025336203</v>
      </c>
      <c r="J28">
        <v>9464</v>
      </c>
      <c r="K28">
        <v>160</v>
      </c>
      <c r="L28">
        <v>5270</v>
      </c>
      <c r="M28">
        <f t="shared" si="2"/>
        <v>32.9375</v>
      </c>
      <c r="N28">
        <v>189</v>
      </c>
      <c r="O28">
        <v>135</v>
      </c>
      <c r="P28">
        <v>133</v>
      </c>
      <c r="Q28">
        <f t="shared" si="3"/>
        <v>0.98518518518518516</v>
      </c>
    </row>
    <row r="29" spans="1:17" x14ac:dyDescent="0.2">
      <c r="B29">
        <v>238</v>
      </c>
      <c r="C29">
        <v>155</v>
      </c>
      <c r="D29">
        <v>6045</v>
      </c>
      <c r="E29">
        <f t="shared" si="0"/>
        <v>39</v>
      </c>
      <c r="F29">
        <v>243</v>
      </c>
      <c r="G29">
        <v>123253</v>
      </c>
      <c r="H29">
        <v>127913</v>
      </c>
      <c r="I29">
        <f t="shared" si="1"/>
        <v>1.037808410342953</v>
      </c>
      <c r="J29">
        <v>9379</v>
      </c>
      <c r="K29">
        <v>160</v>
      </c>
      <c r="L29">
        <v>5229</v>
      </c>
      <c r="M29">
        <f t="shared" si="2"/>
        <v>32.681249999999999</v>
      </c>
      <c r="N29">
        <v>190</v>
      </c>
      <c r="O29">
        <v>134</v>
      </c>
      <c r="P29">
        <v>148</v>
      </c>
      <c r="Q29">
        <f t="shared" si="3"/>
        <v>1.1044776119402986</v>
      </c>
    </row>
    <row r="30" spans="1:17" x14ac:dyDescent="0.2">
      <c r="A30" s="2" t="s">
        <v>6</v>
      </c>
      <c r="B30" s="1">
        <f t="shared" ref="B30:D30" si="4">AVERAGE(B20:B29)</f>
        <v>240.2</v>
      </c>
      <c r="C30" s="1">
        <f t="shared" si="4"/>
        <v>156.9</v>
      </c>
      <c r="D30" s="1">
        <f t="shared" si="4"/>
        <v>5543.2</v>
      </c>
      <c r="E30" s="1"/>
      <c r="F30" s="1">
        <f t="shared" ref="F30" si="5">AVERAGE(F20:F29)</f>
        <v>231.9</v>
      </c>
      <c r="G30" s="1">
        <f t="shared" ref="G30" si="6">AVERAGE(G20:G29)</f>
        <v>124762.6</v>
      </c>
      <c r="H30" s="1">
        <f t="shared" ref="H30" si="7">AVERAGE(H20:H29)</f>
        <v>127076.6</v>
      </c>
      <c r="I30" s="1"/>
      <c r="J30" s="1">
        <f t="shared" ref="J30" si="8">AVERAGE(J20:J29)</f>
        <v>9464.9</v>
      </c>
      <c r="K30" s="1">
        <f t="shared" ref="K30" si="9">AVERAGE(K20:K29)</f>
        <v>161.30000000000001</v>
      </c>
      <c r="L30" s="1">
        <f t="shared" ref="L30" si="10">AVERAGE(L20:L29)</f>
        <v>5325.8</v>
      </c>
      <c r="N30" s="1">
        <f t="shared" ref="N30" si="11">AVERAGE(N20:N29)</f>
        <v>212.9</v>
      </c>
      <c r="O30" s="1">
        <f t="shared" ref="O30" si="12">AVERAGE(O20:O29)</f>
        <v>134.5</v>
      </c>
      <c r="P30" s="1">
        <f t="shared" ref="P30" si="13">AVERAGE(P20:P29)</f>
        <v>141</v>
      </c>
    </row>
    <row r="31" spans="1:17" x14ac:dyDescent="0.2">
      <c r="A31" s="2" t="s">
        <v>7</v>
      </c>
      <c r="B31" s="1">
        <f t="shared" ref="B31:D31" si="14">MAX(B20:B29)</f>
        <v>278</v>
      </c>
      <c r="C31" s="1">
        <f t="shared" si="14"/>
        <v>196</v>
      </c>
      <c r="D31" s="1">
        <f t="shared" si="14"/>
        <v>6045</v>
      </c>
      <c r="E31" s="1"/>
      <c r="F31" s="1">
        <f t="shared" ref="F31:H31" si="15">MAX(F20:F29)</f>
        <v>257</v>
      </c>
      <c r="G31" s="1">
        <f t="shared" si="15"/>
        <v>128848</v>
      </c>
      <c r="H31" s="1">
        <f t="shared" si="15"/>
        <v>135976</v>
      </c>
      <c r="I31" s="1"/>
      <c r="J31" s="1">
        <f t="shared" ref="J31:L31" si="16">MAX(J20:J29)</f>
        <v>9842</v>
      </c>
      <c r="K31" s="1">
        <f t="shared" si="16"/>
        <v>176</v>
      </c>
      <c r="L31" s="1">
        <f t="shared" si="16"/>
        <v>5767</v>
      </c>
      <c r="N31" s="1">
        <f t="shared" ref="N31:P31" si="17">MAX(N20:N29)</f>
        <v>289</v>
      </c>
      <c r="O31" s="1">
        <f t="shared" si="17"/>
        <v>137</v>
      </c>
      <c r="P31" s="1">
        <f t="shared" si="17"/>
        <v>193</v>
      </c>
    </row>
    <row r="32" spans="1:17" x14ac:dyDescent="0.2">
      <c r="A32" s="2" t="s">
        <v>8</v>
      </c>
      <c r="B32" s="1">
        <f t="shared" ref="B32:D32" si="18">MIN(B20:B29)</f>
        <v>234</v>
      </c>
      <c r="C32" s="1">
        <f t="shared" si="18"/>
        <v>134</v>
      </c>
      <c r="D32" s="1">
        <f t="shared" si="18"/>
        <v>5245</v>
      </c>
      <c r="E32" s="1"/>
      <c r="F32" s="1">
        <f t="shared" ref="F32:H32" si="19">MIN(F20:F29)</f>
        <v>223</v>
      </c>
      <c r="G32" s="1">
        <f t="shared" si="19"/>
        <v>122692</v>
      </c>
      <c r="H32" s="1">
        <f t="shared" si="19"/>
        <v>123578</v>
      </c>
      <c r="I32" s="1"/>
      <c r="J32" s="1">
        <f t="shared" ref="J32:L32" si="20">MIN(J20:J29)</f>
        <v>9237</v>
      </c>
      <c r="K32" s="1">
        <f t="shared" si="20"/>
        <v>159</v>
      </c>
      <c r="L32" s="1">
        <f t="shared" si="20"/>
        <v>4985</v>
      </c>
      <c r="N32" s="1">
        <f t="shared" ref="N32:P32" si="21">MIN(N20:N29)</f>
        <v>188</v>
      </c>
      <c r="O32" s="1">
        <f t="shared" si="21"/>
        <v>133</v>
      </c>
      <c r="P32" s="1">
        <f t="shared" si="21"/>
        <v>133</v>
      </c>
    </row>
    <row r="36" spans="1:13" x14ac:dyDescent="0.2">
      <c r="A36" s="4"/>
      <c r="B36" s="5" t="s">
        <v>2</v>
      </c>
      <c r="C36" s="5"/>
      <c r="D36" s="5"/>
      <c r="E36" s="5"/>
      <c r="F36" s="5" t="s">
        <v>14</v>
      </c>
      <c r="G36" s="5"/>
      <c r="H36" s="5"/>
      <c r="I36" s="5"/>
      <c r="J36" s="5" t="s">
        <v>16</v>
      </c>
      <c r="K36" s="5"/>
      <c r="L36" s="5"/>
      <c r="M36" s="5"/>
    </row>
    <row r="37" spans="1:13" x14ac:dyDescent="0.2">
      <c r="B37" s="3" t="s">
        <v>10</v>
      </c>
      <c r="C37" s="3" t="s">
        <v>15</v>
      </c>
      <c r="D37" s="3" t="s">
        <v>17</v>
      </c>
      <c r="E37" s="3" t="s">
        <v>11</v>
      </c>
      <c r="F37" s="3" t="s">
        <v>10</v>
      </c>
      <c r="G37" s="3" t="s">
        <v>15</v>
      </c>
      <c r="H37" s="3" t="s">
        <v>17</v>
      </c>
      <c r="I37" s="3" t="s">
        <v>11</v>
      </c>
      <c r="J37" s="3" t="s">
        <v>10</v>
      </c>
      <c r="K37" s="3" t="s">
        <v>15</v>
      </c>
      <c r="L37" s="3" t="s">
        <v>17</v>
      </c>
      <c r="M37" s="3" t="s">
        <v>11</v>
      </c>
    </row>
    <row r="38" spans="1:13" x14ac:dyDescent="0.2">
      <c r="B38">
        <v>1702</v>
      </c>
      <c r="C38">
        <v>657028</v>
      </c>
      <c r="D38">
        <v>11673</v>
      </c>
      <c r="E38">
        <v>134</v>
      </c>
      <c r="F38">
        <v>961</v>
      </c>
      <c r="G38">
        <v>467202</v>
      </c>
      <c r="H38">
        <v>110915</v>
      </c>
      <c r="I38">
        <v>105335</v>
      </c>
      <c r="J38">
        <v>1062</v>
      </c>
      <c r="K38">
        <v>448935</v>
      </c>
      <c r="L38">
        <v>10706</v>
      </c>
      <c r="M38">
        <v>216</v>
      </c>
    </row>
    <row r="39" spans="1:13" x14ac:dyDescent="0.2">
      <c r="B39">
        <v>1673</v>
      </c>
      <c r="C39">
        <v>658443</v>
      </c>
      <c r="D39">
        <v>10925</v>
      </c>
      <c r="E39">
        <v>154</v>
      </c>
      <c r="F39">
        <v>960</v>
      </c>
      <c r="G39">
        <v>463819</v>
      </c>
      <c r="H39">
        <v>109202</v>
      </c>
      <c r="I39">
        <v>105820</v>
      </c>
      <c r="J39">
        <v>1117</v>
      </c>
      <c r="K39">
        <v>450245</v>
      </c>
      <c r="L39">
        <v>10503</v>
      </c>
      <c r="M39">
        <v>184</v>
      </c>
    </row>
    <row r="40" spans="1:13" x14ac:dyDescent="0.2">
      <c r="B40">
        <v>1797</v>
      </c>
      <c r="C40">
        <v>668374</v>
      </c>
      <c r="D40">
        <v>10431</v>
      </c>
      <c r="E40">
        <v>156</v>
      </c>
      <c r="F40">
        <v>994</v>
      </c>
      <c r="G40">
        <v>461437</v>
      </c>
      <c r="H40">
        <v>110548</v>
      </c>
      <c r="I40">
        <v>113837</v>
      </c>
      <c r="J40">
        <v>1229</v>
      </c>
      <c r="K40">
        <v>450730</v>
      </c>
      <c r="L40">
        <v>10455</v>
      </c>
      <c r="M40">
        <v>153</v>
      </c>
    </row>
    <row r="41" spans="1:13" x14ac:dyDescent="0.2">
      <c r="B41">
        <v>1687</v>
      </c>
      <c r="C41">
        <v>672448</v>
      </c>
      <c r="D41">
        <v>10298</v>
      </c>
      <c r="E41">
        <v>155</v>
      </c>
      <c r="F41">
        <v>1101</v>
      </c>
      <c r="G41">
        <v>467329</v>
      </c>
      <c r="H41">
        <v>117054</v>
      </c>
      <c r="I41">
        <v>106033</v>
      </c>
      <c r="J41">
        <v>1035</v>
      </c>
      <c r="K41">
        <v>446598</v>
      </c>
      <c r="L41">
        <v>10743</v>
      </c>
      <c r="M41">
        <v>154</v>
      </c>
    </row>
    <row r="42" spans="1:13" x14ac:dyDescent="0.2">
      <c r="B42">
        <v>1677</v>
      </c>
      <c r="C42">
        <v>655252</v>
      </c>
      <c r="D42">
        <v>10471</v>
      </c>
      <c r="E42">
        <v>155</v>
      </c>
      <c r="F42">
        <v>963</v>
      </c>
      <c r="G42">
        <v>458804</v>
      </c>
      <c r="H42">
        <v>110388</v>
      </c>
      <c r="I42">
        <v>104799</v>
      </c>
      <c r="J42">
        <v>1067</v>
      </c>
      <c r="K42">
        <v>448557</v>
      </c>
      <c r="L42">
        <v>11435</v>
      </c>
      <c r="M42">
        <v>156</v>
      </c>
    </row>
    <row r="43" spans="1:13" x14ac:dyDescent="0.2">
      <c r="B43">
        <v>1673</v>
      </c>
      <c r="C43">
        <v>657039</v>
      </c>
      <c r="D43">
        <v>11198</v>
      </c>
      <c r="E43">
        <v>196</v>
      </c>
      <c r="F43">
        <v>1125</v>
      </c>
      <c r="G43">
        <v>461398</v>
      </c>
      <c r="H43">
        <v>111394</v>
      </c>
      <c r="I43">
        <v>106030</v>
      </c>
      <c r="J43">
        <v>1031</v>
      </c>
      <c r="K43">
        <v>450329</v>
      </c>
      <c r="L43">
        <v>10361</v>
      </c>
      <c r="M43">
        <v>155</v>
      </c>
    </row>
    <row r="44" spans="1:13" x14ac:dyDescent="0.2">
      <c r="B44">
        <v>1766</v>
      </c>
      <c r="C44">
        <v>649955</v>
      </c>
      <c r="D44">
        <v>10228</v>
      </c>
      <c r="E44">
        <v>156</v>
      </c>
      <c r="F44">
        <v>961</v>
      </c>
      <c r="G44">
        <v>480593</v>
      </c>
      <c r="H44">
        <v>109446</v>
      </c>
      <c r="I44">
        <v>109768</v>
      </c>
      <c r="J44">
        <v>1057</v>
      </c>
      <c r="K44">
        <v>450949</v>
      </c>
      <c r="L44">
        <v>10714</v>
      </c>
      <c r="M44">
        <v>155</v>
      </c>
    </row>
    <row r="45" spans="1:13" x14ac:dyDescent="0.2">
      <c r="B45">
        <v>1790</v>
      </c>
      <c r="C45">
        <v>654668</v>
      </c>
      <c r="D45">
        <v>10341</v>
      </c>
      <c r="E45">
        <v>154</v>
      </c>
      <c r="F45">
        <v>965</v>
      </c>
      <c r="G45">
        <v>461296</v>
      </c>
      <c r="H45">
        <v>111818</v>
      </c>
      <c r="I45">
        <v>107978</v>
      </c>
      <c r="J45">
        <v>1032</v>
      </c>
      <c r="K45">
        <v>447230</v>
      </c>
      <c r="L45">
        <v>10174</v>
      </c>
      <c r="M45">
        <v>153</v>
      </c>
    </row>
    <row r="46" spans="1:13" x14ac:dyDescent="0.2">
      <c r="B46">
        <v>1819</v>
      </c>
      <c r="C46">
        <v>652517</v>
      </c>
      <c r="D46">
        <v>10446</v>
      </c>
      <c r="E46">
        <v>154</v>
      </c>
      <c r="F46">
        <v>1088</v>
      </c>
      <c r="G46">
        <v>445604</v>
      </c>
      <c r="H46">
        <v>108682</v>
      </c>
      <c r="I46">
        <v>117176</v>
      </c>
      <c r="J46">
        <v>1033</v>
      </c>
      <c r="K46">
        <v>452081</v>
      </c>
      <c r="L46">
        <v>10390</v>
      </c>
      <c r="M46">
        <v>171</v>
      </c>
    </row>
    <row r="47" spans="1:13" x14ac:dyDescent="0.2">
      <c r="B47">
        <v>1675</v>
      </c>
      <c r="C47">
        <v>648712</v>
      </c>
      <c r="D47">
        <v>10877</v>
      </c>
      <c r="E47">
        <v>155</v>
      </c>
      <c r="F47">
        <v>961</v>
      </c>
      <c r="G47">
        <v>463741</v>
      </c>
      <c r="H47">
        <v>107750</v>
      </c>
      <c r="I47">
        <v>104940</v>
      </c>
      <c r="J47">
        <v>1112</v>
      </c>
      <c r="K47">
        <v>450519</v>
      </c>
      <c r="L47">
        <v>10977</v>
      </c>
      <c r="M47">
        <v>154</v>
      </c>
    </row>
    <row r="48" spans="1:13" x14ac:dyDescent="0.2">
      <c r="A48" s="2" t="s">
        <v>6</v>
      </c>
      <c r="B48" s="1">
        <f t="shared" ref="B48" si="22">AVERAGE(B38:B47)</f>
        <v>1725.9</v>
      </c>
      <c r="C48" s="1">
        <f t="shared" ref="C48" si="23">AVERAGE(C38:C47)</f>
        <v>657443.6</v>
      </c>
      <c r="D48" s="1">
        <f t="shared" ref="D48:E48" si="24">AVERAGE(D38:D47)</f>
        <v>10688.8</v>
      </c>
      <c r="E48" s="1">
        <f t="shared" si="24"/>
        <v>156.9</v>
      </c>
      <c r="F48" s="1">
        <f t="shared" ref="F48" si="25">AVERAGE(F38:F47)</f>
        <v>1007.9</v>
      </c>
      <c r="G48" s="1">
        <f t="shared" ref="G48" si="26">AVERAGE(G38:G47)</f>
        <v>463122.3</v>
      </c>
      <c r="H48" s="1">
        <f t="shared" ref="H48" si="27">AVERAGE(H38:H47)</f>
        <v>110719.7</v>
      </c>
      <c r="I48" s="1">
        <f t="shared" ref="I48" si="28">AVERAGE(I38:I47)</f>
        <v>108171.6</v>
      </c>
      <c r="J48" s="1">
        <f t="shared" ref="J48" si="29">AVERAGE(J38:J47)</f>
        <v>1077.5</v>
      </c>
      <c r="K48" s="1">
        <f t="shared" ref="K48" si="30">AVERAGE(K38:K47)</f>
        <v>449617.3</v>
      </c>
      <c r="L48" s="1">
        <f t="shared" ref="L48" si="31">AVERAGE(L38:L47)</f>
        <v>10645.8</v>
      </c>
      <c r="M48" s="1">
        <f t="shared" ref="M48" si="32">AVERAGE(M38:M47)</f>
        <v>165.1</v>
      </c>
    </row>
    <row r="49" spans="1:13" x14ac:dyDescent="0.2">
      <c r="A49" s="2" t="s">
        <v>7</v>
      </c>
      <c r="B49" s="1">
        <f t="shared" ref="B49:D49" si="33">MAX(B38:B47)</f>
        <v>1819</v>
      </c>
      <c r="C49" s="1">
        <f t="shared" si="33"/>
        <v>672448</v>
      </c>
      <c r="D49" s="1">
        <f t="shared" si="33"/>
        <v>11673</v>
      </c>
      <c r="E49" s="1">
        <f t="shared" ref="E49:F49" si="34">MAX(E38:E47)</f>
        <v>196</v>
      </c>
      <c r="F49" s="1">
        <f t="shared" si="34"/>
        <v>1125</v>
      </c>
      <c r="G49" s="1">
        <f t="shared" ref="G49:M49" si="35">MAX(G38:G47)</f>
        <v>480593</v>
      </c>
      <c r="H49" s="1">
        <f t="shared" si="35"/>
        <v>117054</v>
      </c>
      <c r="I49" s="1">
        <f t="shared" si="35"/>
        <v>117176</v>
      </c>
      <c r="J49" s="1">
        <f t="shared" si="35"/>
        <v>1229</v>
      </c>
      <c r="K49" s="1">
        <f t="shared" si="35"/>
        <v>452081</v>
      </c>
      <c r="L49" s="1">
        <f t="shared" si="35"/>
        <v>11435</v>
      </c>
      <c r="M49" s="1">
        <f t="shared" si="35"/>
        <v>216</v>
      </c>
    </row>
    <row r="50" spans="1:13" x14ac:dyDescent="0.2">
      <c r="A50" s="2" t="s">
        <v>8</v>
      </c>
      <c r="B50" s="1">
        <f t="shared" ref="B50:D50" si="36">MIN(B38:B47)</f>
        <v>1673</v>
      </c>
      <c r="C50" s="1">
        <f t="shared" si="36"/>
        <v>648712</v>
      </c>
      <c r="D50" s="1">
        <f t="shared" si="36"/>
        <v>10228</v>
      </c>
      <c r="E50" s="1">
        <f t="shared" ref="E50:F50" si="37">MIN(E38:E47)</f>
        <v>134</v>
      </c>
      <c r="F50" s="1">
        <f t="shared" si="37"/>
        <v>960</v>
      </c>
      <c r="G50" s="1">
        <f t="shared" ref="G50:M50" si="38">MIN(G38:G47)</f>
        <v>445604</v>
      </c>
      <c r="H50" s="1">
        <f t="shared" si="38"/>
        <v>107750</v>
      </c>
      <c r="I50" s="1">
        <f t="shared" si="38"/>
        <v>104799</v>
      </c>
      <c r="J50" s="1">
        <f t="shared" si="38"/>
        <v>1031</v>
      </c>
      <c r="K50" s="1">
        <f t="shared" si="38"/>
        <v>446598</v>
      </c>
      <c r="L50" s="1">
        <f t="shared" si="38"/>
        <v>10174</v>
      </c>
      <c r="M50" s="1">
        <f t="shared" si="38"/>
        <v>153</v>
      </c>
    </row>
  </sheetData>
  <mergeCells count="7">
    <mergeCell ref="B36:E36"/>
    <mergeCell ref="F36:I36"/>
    <mergeCell ref="J36:M36"/>
    <mergeCell ref="J18:M18"/>
    <mergeCell ref="N18:Q18"/>
    <mergeCell ref="B18:E18"/>
    <mergeCell ref="F18:I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두호 이</dc:creator>
  <cp:lastModifiedBy>두호 이</cp:lastModifiedBy>
  <dcterms:created xsi:type="dcterms:W3CDTF">2025-03-24T09:57:29Z</dcterms:created>
  <dcterms:modified xsi:type="dcterms:W3CDTF">2025-03-24T12:55:29Z</dcterms:modified>
</cp:coreProperties>
</file>